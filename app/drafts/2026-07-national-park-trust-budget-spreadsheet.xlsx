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  <color rgb="00FFFFFF"/>
    </font>
    <font>
      <b val="1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F4E37"/>
        <bgColor rgb="001F4E3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2" customWidth="1" min="3" max="3"/>
    <col width="10" customWidth="1" min="4" max="4"/>
    <col width="12" customWidth="1" min="5" max="5"/>
    <col width="16" customWidth="1" min="6" max="6"/>
    <col width="18" customWidth="1" min="7" max="7"/>
    <col width="14" customWidth="1" min="8" max="8"/>
  </cols>
  <sheetData>
    <row r="1">
      <c r="A1" s="1" t="inlineStr">
        <is>
          <t>National Park Trust / Pepco Sustainable Communities Grants Program</t>
        </is>
      </c>
    </row>
    <row r="2">
      <c r="A2" s="2" t="inlineStr">
        <is>
          <t>Applicant: GOODProjects, Inc. (EIN 81-1491594)</t>
        </is>
      </c>
    </row>
    <row r="3">
      <c r="A3" s="2" t="inlineStr">
        <is>
          <t>Project Title: Building Emergency Food Resilience in Southeast &amp; Southwest DC</t>
        </is>
      </c>
    </row>
    <row r="4">
      <c r="A4" s="2" t="inlineStr">
        <is>
          <t>Grant Type: Community Resiliency Grant</t>
        </is>
      </c>
    </row>
    <row r="5">
      <c r="A5" s="2" t="inlineStr">
        <is>
          <t>Total Requested: $20,000</t>
        </is>
      </c>
    </row>
    <row r="7">
      <c r="A7" s="3" t="inlineStr">
        <is>
          <t>Budget Category</t>
        </is>
      </c>
      <c r="B7" s="3" t="inlineStr">
        <is>
          <t>Line Item</t>
        </is>
      </c>
      <c r="C7" s="3" t="inlineStr">
        <is>
          <t>Description</t>
        </is>
      </c>
      <c r="D7" s="3" t="inlineStr">
        <is>
          <t>Quantity</t>
        </is>
      </c>
      <c r="E7" s="3" t="inlineStr">
        <is>
          <t>Unit Cost</t>
        </is>
      </c>
      <c r="F7" s="3" t="inlineStr">
        <is>
          <t>Grant Request ($)</t>
        </is>
      </c>
      <c r="G7" s="3" t="inlineStr">
        <is>
          <t>Matching/In-Kind ($)</t>
        </is>
      </c>
      <c r="H7" s="3" t="inlineStr">
        <is>
          <t>Total Cost ($)</t>
        </is>
      </c>
    </row>
    <row r="8">
      <c r="A8" s="4" t="inlineStr">
        <is>
          <t>Equipment</t>
        </is>
      </c>
      <c r="B8" s="4" t="inlineStr">
        <is>
          <t>Mobile solar-powered refrigeration unit</t>
        </is>
      </c>
      <c r="C8" s="5" t="inlineStr">
        <is>
          <t>SW Peace Gardens site, on-site cold storage during outages</t>
        </is>
      </c>
      <c r="D8" s="6" t="n">
        <v>1</v>
      </c>
      <c r="E8" s="7" t="n">
        <v>3500</v>
      </c>
      <c r="F8" s="7" t="n">
        <v>3500</v>
      </c>
      <c r="G8" s="7" t="n">
        <v>0</v>
      </c>
      <c r="H8" s="7">
        <f>F8+G8</f>
        <v/>
      </c>
    </row>
    <row r="9">
      <c r="A9" s="4" t="inlineStr">
        <is>
          <t>Equipment</t>
        </is>
      </c>
      <c r="B9" s="4" t="inlineStr">
        <is>
          <t>Mobile solar-powered refrigeration unit</t>
        </is>
      </c>
      <c r="C9" s="5" t="inlineStr">
        <is>
          <t>Elmira Grocery site, emergency distribution point</t>
        </is>
      </c>
      <c r="D9" s="6" t="n">
        <v>1</v>
      </c>
      <c r="E9" s="7" t="n">
        <v>3500</v>
      </c>
      <c r="F9" s="7" t="n">
        <v>3500</v>
      </c>
      <c r="G9" s="7" t="n">
        <v>0</v>
      </c>
      <c r="H9" s="7">
        <f>F9+G9</f>
        <v/>
      </c>
    </row>
    <row r="10">
      <c r="A10" s="4" t="inlineStr">
        <is>
          <t>Equipment</t>
        </is>
      </c>
      <c r="B10" s="4" t="inlineStr">
        <is>
          <t>Backup battery storage system</t>
        </is>
      </c>
      <c r="C10" s="5" t="inlineStr">
        <is>
          <t>Stationary unit, Elmira Grocery site</t>
        </is>
      </c>
      <c r="D10" s="6" t="n">
        <v>1</v>
      </c>
      <c r="E10" s="7" t="n">
        <v>3000</v>
      </c>
      <c r="F10" s="7" t="n">
        <v>3000</v>
      </c>
      <c r="G10" s="7" t="n">
        <v>0</v>
      </c>
      <c r="H10" s="7">
        <f>F10+G10</f>
        <v/>
      </c>
    </row>
    <row r="11">
      <c r="A11" s="4" t="inlineStr">
        <is>
          <t>Equipment &amp; Supplies</t>
        </is>
      </c>
      <c r="B11" s="4" t="inlineStr">
        <is>
          <t>Canning supplies (jars, lids, tools)</t>
        </is>
      </c>
      <c r="C11" s="5" t="inlineStr">
        <is>
          <t>Food preservation without power, workshop demos + distribution</t>
        </is>
      </c>
      <c r="D11" s="6" t="n">
        <v>1</v>
      </c>
      <c r="E11" s="7" t="n">
        <v>800</v>
      </c>
      <c r="F11" s="7" t="n">
        <v>800</v>
      </c>
      <c r="G11" s="7" t="n">
        <v>0</v>
      </c>
      <c r="H11" s="7">
        <f>F11+G11</f>
        <v/>
      </c>
    </row>
    <row r="12">
      <c r="A12" s="4" t="inlineStr">
        <is>
          <t>Equipment &amp; Supplies</t>
        </is>
      </c>
      <c r="B12" s="4" t="inlineStr">
        <is>
          <t>Solar ovens</t>
        </is>
      </c>
      <c r="C12" s="5" t="inlineStr">
        <is>
          <t>Emergency cooking demonstration and household use</t>
        </is>
      </c>
      <c r="D12" s="6" t="n">
        <v>4</v>
      </c>
      <c r="E12" s="7" t="n">
        <v>300</v>
      </c>
      <c r="F12" s="7" t="n">
        <v>1200</v>
      </c>
      <c r="G12" s="7" t="n">
        <v>0</v>
      </c>
      <c r="H12" s="7">
        <f>F12+G12</f>
        <v/>
      </c>
    </row>
    <row r="13">
      <c r="A13" s="4" t="inlineStr">
        <is>
          <t>Equipment &amp; Supplies</t>
        </is>
      </c>
      <c r="B13" s="4" t="inlineStr">
        <is>
          <t>Water storage containers</t>
        </is>
      </c>
      <c r="C13" s="5" t="inlineStr">
        <is>
          <t>Household emergency water storage</t>
        </is>
      </c>
      <c r="D13" s="6" t="n">
        <v>1</v>
      </c>
      <c r="E13" s="7" t="n">
        <v>500</v>
      </c>
      <c r="F13" s="7" t="n">
        <v>500</v>
      </c>
      <c r="G13" s="7" t="n">
        <v>0</v>
      </c>
      <c r="H13" s="7">
        <f>F13+G13</f>
        <v/>
      </c>
    </row>
    <row r="14">
      <c r="A14" s="4" t="inlineStr">
        <is>
          <t>Equipment &amp; Supplies</t>
        </is>
      </c>
      <c r="B14" s="4" t="inlineStr">
        <is>
          <t>Emergency food kits (materials)</t>
        </is>
      </c>
      <c r="C14" s="5" t="inlineStr">
        <is>
          <t>200 kits for distribution/activation drill</t>
        </is>
      </c>
      <c r="D14" s="6" t="n">
        <v>1</v>
      </c>
      <c r="E14" s="7" t="n">
        <v>500</v>
      </c>
      <c r="F14" s="7" t="n">
        <v>500</v>
      </c>
      <c r="G14" s="7" t="n">
        <v>0</v>
      </c>
      <c r="H14" s="7">
        <f>F14+G14</f>
        <v/>
      </c>
    </row>
    <row r="15">
      <c r="A15" s="4" t="inlineStr">
        <is>
          <t>Outreach &amp; Training</t>
        </is>
      </c>
      <c r="B15" s="4" t="inlineStr">
        <is>
          <t>Workshop facilitator stipends</t>
        </is>
      </c>
      <c r="C15" s="5" t="inlineStr">
        <is>
          <t>10 emergency preparedness workshops, local educators</t>
        </is>
      </c>
      <c r="D15" s="6" t="n">
        <v>10</v>
      </c>
      <c r="E15" s="7" t="n">
        <v>300</v>
      </c>
      <c r="F15" s="7" t="n">
        <v>3000</v>
      </c>
      <c r="G15" s="7" t="n">
        <v>0</v>
      </c>
      <c r="H15" s="7">
        <f>F15+G15</f>
        <v/>
      </c>
    </row>
    <row r="16">
      <c r="A16" s="4" t="inlineStr">
        <is>
          <t>Outreach &amp; Training</t>
        </is>
      </c>
      <c r="B16" s="4" t="inlineStr">
        <is>
          <t>Outreach materials &amp; printing</t>
        </is>
      </c>
      <c r="C16" s="5" t="inlineStr">
        <is>
          <t>Workshop recruitment, household planning handouts</t>
        </is>
      </c>
      <c r="D16" s="6" t="n">
        <v>1</v>
      </c>
      <c r="E16" s="7" t="n">
        <v>1000</v>
      </c>
      <c r="F16" s="7" t="n">
        <v>1000</v>
      </c>
      <c r="G16" s="7" t="n">
        <v>0</v>
      </c>
      <c r="H16" s="7">
        <f>F16+G16</f>
        <v/>
      </c>
    </row>
    <row r="17">
      <c r="A17" s="4" t="inlineStr">
        <is>
          <t>Plan Development &amp; Documentation</t>
        </is>
      </c>
      <c r="B17" s="4" t="inlineStr">
        <is>
          <t>Staff time for emergency food plan development</t>
        </is>
      </c>
      <c r="C17" s="5" t="inlineStr">
        <is>
          <t>Coordination with D.C. Food Policy Council, resource mapping</t>
        </is>
      </c>
      <c r="D17" s="6" t="n">
        <v>1</v>
      </c>
      <c r="E17" s="7" t="n">
        <v>2200</v>
      </c>
      <c r="F17" s="7" t="n">
        <v>2200</v>
      </c>
      <c r="G17" s="7" t="n">
        <v>0</v>
      </c>
      <c r="H17" s="7">
        <f>F17+G17</f>
        <v/>
      </c>
    </row>
    <row r="18">
      <c r="A18" s="4" t="inlineStr">
        <is>
          <t>Plan Development &amp; Documentation</t>
        </is>
      </c>
      <c r="B18" s="4" t="inlineStr">
        <is>
          <t>Final report production</t>
        </is>
      </c>
      <c r="C18" s="5" t="inlineStr">
        <is>
          <t>Report layout, printing, digital documentation, 5+ photos</t>
        </is>
      </c>
      <c r="D18" s="6" t="n">
        <v>1</v>
      </c>
      <c r="E18" s="7" t="n">
        <v>800</v>
      </c>
      <c r="F18" s="7" t="n">
        <v>800</v>
      </c>
      <c r="G18" s="7" t="n">
        <v>0</v>
      </c>
      <c r="H18" s="7">
        <f>F18+G18</f>
        <v/>
      </c>
    </row>
    <row r="19">
      <c r="A19" s="8" t="inlineStr">
        <is>
          <t>TOTAL</t>
        </is>
      </c>
      <c r="B19" s="4" t="n"/>
      <c r="C19" s="4" t="n"/>
      <c r="D19" s="4" t="n"/>
      <c r="E19" s="4" t="n"/>
      <c r="F19" s="9">
        <f>SUM(F8:F18)</f>
        <v/>
      </c>
      <c r="G19" s="9">
        <f>SUM(G8:G18)</f>
        <v/>
      </c>
      <c r="H19" s="9">
        <f>SUM(H8:H18)</f>
        <v/>
      </c>
    </row>
    <row r="21">
      <c r="A21" s="10" t="inlineStr">
        <is>
          <t>Category subtotals (match Budget Narrative in application):</t>
        </is>
      </c>
    </row>
    <row r="22">
      <c r="A22" s="11" t="inlineStr">
        <is>
          <t>Solar Refrigeration Units and Battery Storage: $10,000</t>
        </is>
      </c>
    </row>
    <row r="23">
      <c r="A23" s="11" t="inlineStr">
        <is>
          <t>Emergency Preparedness Equipment and Supplies: $3,000</t>
        </is>
      </c>
    </row>
    <row r="24">
      <c r="A24" s="11" t="inlineStr">
        <is>
          <t>Community Outreach and Training: $4,000</t>
        </is>
      </c>
    </row>
    <row r="25">
      <c r="A25" s="11" t="inlineStr">
        <is>
          <t>Plan Development and Documentation: $3,000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2026-07-13T03:01:07Z</dcterms:created>
  <dcterms:modified xsi:type="dcterms:W3CDTF">2026-07-13T03:01:27Z</dcterms:modified>
</cp:coreProperties>
</file>