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2026" sheetId="1" r:id="rId5"/>
  </sheets>
  <definedNames/>
  <calcPr/>
</workbook>
</file>

<file path=xl/sharedStrings.xml><?xml version="1.0" encoding="utf-8"?>
<sst xmlns="http://schemas.openxmlformats.org/spreadsheetml/2006/main" count="50" uniqueCount="50">
  <si>
    <t>GOODProjects</t>
  </si>
  <si>
    <t>BJF Budget - 2026</t>
  </si>
  <si>
    <t>Amount</t>
  </si>
  <si>
    <t>Revenue</t>
  </si>
  <si>
    <t xml:space="preserve">   4000 Revenue</t>
  </si>
  <si>
    <t xml:space="preserve">      4010 Contributions</t>
  </si>
  <si>
    <t xml:space="preserve">         4030 Individual and Business Contributions</t>
  </si>
  <si>
    <t xml:space="preserve">      Total 4010 Contributions</t>
  </si>
  <si>
    <t xml:space="preserve">      4050 Grant Revenues</t>
  </si>
  <si>
    <t xml:space="preserve">         4060 Foundation / Trust Grants</t>
  </si>
  <si>
    <t xml:space="preserve">      Total 4050 Grant Revenues</t>
  </si>
  <si>
    <t xml:space="preserve">   Total 4000 Revenue</t>
  </si>
  <si>
    <t>Total Revenue</t>
  </si>
  <si>
    <t>Gross Profit</t>
  </si>
  <si>
    <t>Expenditures</t>
  </si>
  <si>
    <t>Personnel</t>
  </si>
  <si>
    <t xml:space="preserve">   5000 Personnel Related / Fundraising</t>
  </si>
  <si>
    <t>Other Direct Cost</t>
  </si>
  <si>
    <t xml:space="preserve">      5075 Subcontractors / Fundraising</t>
  </si>
  <si>
    <t>Consultant/Contractors</t>
  </si>
  <si>
    <t xml:space="preserve">   Total 5000 Personnel Related / Fundraising</t>
  </si>
  <si>
    <t>Indirect Cost</t>
  </si>
  <si>
    <t xml:space="preserve">   7000 Program Exp.</t>
  </si>
  <si>
    <t xml:space="preserve">      7019 Outdoor Activity Expenses</t>
  </si>
  <si>
    <t xml:space="preserve">      7030 Contract labor / Professional Fees</t>
  </si>
  <si>
    <t xml:space="preserve">         7031 Tutoring Expenses</t>
  </si>
  <si>
    <t xml:space="preserve">         7034 Other Program Support and Consulting</t>
  </si>
  <si>
    <t xml:space="preserve">      Total 7030 Contract labor / Professional Fees</t>
  </si>
  <si>
    <t xml:space="preserve">      7050 Grant Payments</t>
  </si>
  <si>
    <t xml:space="preserve">      7500 Personnel Related / Programs</t>
  </si>
  <si>
    <t xml:space="preserve">         7510 Payroll Wage Expenses</t>
  </si>
  <si>
    <t xml:space="preserve">         7520 Subcontractor / programs</t>
  </si>
  <si>
    <t xml:space="preserve">      Total 7500 Personnel Related / Programs</t>
  </si>
  <si>
    <t xml:space="preserve">   Total 7000 Program Exp.</t>
  </si>
  <si>
    <t xml:space="preserve">   7600 Fringe Benefits</t>
  </si>
  <si>
    <t xml:space="preserve">      7610 Payroll Taxes</t>
  </si>
  <si>
    <t xml:space="preserve">   Total 7600 Fringe Benefits</t>
  </si>
  <si>
    <t xml:space="preserve">   8300 Marketing and Branding</t>
  </si>
  <si>
    <t xml:space="preserve">      8301 Marketing Expense</t>
  </si>
  <si>
    <t xml:space="preserve">   Total 8300 Marketing and Branding</t>
  </si>
  <si>
    <t xml:space="preserve">   8400 Legal &amp; Professional Services</t>
  </si>
  <si>
    <t xml:space="preserve">      8420 Accounting Services</t>
  </si>
  <si>
    <t xml:space="preserve">      8430 Legal &amp; Professional Fees</t>
  </si>
  <si>
    <t xml:space="preserve">   Total 8400 Legal &amp; Professional Services</t>
  </si>
  <si>
    <t xml:space="preserve">   8500 Operational Expenses</t>
  </si>
  <si>
    <t xml:space="preserve">      8545 Software Subscription Services</t>
  </si>
  <si>
    <t xml:space="preserve">   Total 8500 Operational Expenses</t>
  </si>
  <si>
    <t>Total Expenditures</t>
  </si>
  <si>
    <t>Net Operating Revenue</t>
  </si>
  <si>
    <t>Net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</si>
</sst>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_€"/>
    <numFmt numFmtId="165" formatCode="&quot;$&quot;* #,##0.00\ _€"/>
  </numFmts>
  <fonts count="8">
    <font>
      <sz val="11.0"/>
      <color rgb="FF000000"/>
      <name val="Aptos Narrow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sz val="11.0"/>
      <color rgb="FF000000"/>
      <name val="Aptos Narrow"/>
    </font>
    <font>
      <b/>
      <sz val="9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6" numFmtId="164" xfId="0" applyAlignment="1" applyFont="1" applyNumberFormat="1">
      <alignment shrinkToFit="0" wrapText="1"/>
    </xf>
    <xf borderId="0" fillId="0" fontId="6" numFmtId="164" xfId="0" applyAlignment="1" applyFont="1" applyNumberFormat="1">
      <alignment horizontal="right" shrinkToFit="0" wrapText="1"/>
    </xf>
    <xf borderId="2" fillId="0" fontId="5" numFmtId="165" xfId="0" applyAlignment="1" applyBorder="1" applyFont="1" applyNumberFormat="1">
      <alignment horizontal="right" shrinkToFit="0" wrapText="1"/>
    </xf>
    <xf borderId="0" fillId="0" fontId="7" numFmtId="0" xfId="0" applyFont="1"/>
    <xf borderId="0" fillId="0" fontId="3" numFmtId="4" xfId="0" applyFont="1" applyNumberFormat="1"/>
    <xf borderId="0" fillId="0" fontId="3" numFmtId="10" xfId="0" applyFont="1" applyNumberFormat="1"/>
    <xf borderId="0" fillId="0" fontId="5" numFmtId="165" xfId="0" applyAlignment="1" applyFont="1" applyNumberFormat="1">
      <alignment horizontal="right"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12.88"/>
    <col customWidth="1" min="3" max="5" width="8.63"/>
    <col customWidth="1" min="6" max="6" width="22.0"/>
    <col customWidth="1" min="7" max="8" width="12.38"/>
    <col customWidth="1" min="9" max="26" width="8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</row>
    <row r="4" ht="14.25" customHeight="1"/>
    <row r="5" ht="14.25" customHeight="1">
      <c r="A5" s="3"/>
      <c r="B5" s="4" t="s">
        <v>2</v>
      </c>
    </row>
    <row r="6" ht="14.25" customHeight="1">
      <c r="A6" s="5" t="s">
        <v>3</v>
      </c>
      <c r="B6" s="6"/>
    </row>
    <row r="7" ht="14.25" customHeight="1">
      <c r="A7" s="5" t="s">
        <v>4</v>
      </c>
      <c r="B7" s="6"/>
    </row>
    <row r="8" ht="14.25" customHeight="1">
      <c r="A8" s="5" t="s">
        <v>5</v>
      </c>
      <c r="B8" s="6"/>
    </row>
    <row r="9" ht="14.25" customHeight="1">
      <c r="A9" s="5" t="s">
        <v>6</v>
      </c>
      <c r="B9" s="7"/>
    </row>
    <row r="10" ht="14.25" customHeight="1">
      <c r="A10" s="5" t="s">
        <v>7</v>
      </c>
      <c r="B10" s="8">
        <f>(B8)+(B9)</f>
        <v>0</v>
      </c>
    </row>
    <row r="11" ht="14.25" customHeight="1">
      <c r="A11" s="5" t="s">
        <v>8</v>
      </c>
      <c r="B11" s="6"/>
    </row>
    <row r="12" ht="14.25" customHeight="1">
      <c r="A12" s="5" t="s">
        <v>9</v>
      </c>
      <c r="B12" s="7">
        <v>500000.0</v>
      </c>
    </row>
    <row r="13" ht="14.25" customHeight="1">
      <c r="A13" s="5" t="s">
        <v>10</v>
      </c>
      <c r="B13" s="8">
        <f>(B11)+(B12)</f>
        <v>500000</v>
      </c>
    </row>
    <row r="14" ht="14.25" customHeight="1">
      <c r="A14" s="5" t="s">
        <v>11</v>
      </c>
      <c r="B14" s="8">
        <f>((B7)+(B10))+(B13)</f>
        <v>500000</v>
      </c>
    </row>
    <row r="15" ht="14.25" customHeight="1">
      <c r="A15" s="5" t="s">
        <v>12</v>
      </c>
      <c r="B15" s="8">
        <f>B14</f>
        <v>500000</v>
      </c>
    </row>
    <row r="16" ht="14.25" customHeight="1">
      <c r="A16" s="5" t="s">
        <v>13</v>
      </c>
      <c r="B16" s="8">
        <f>(B15)-(0)</f>
        <v>500000</v>
      </c>
    </row>
    <row r="17" ht="14.25" customHeight="1">
      <c r="A17" s="5" t="s">
        <v>14</v>
      </c>
      <c r="B17" s="6"/>
      <c r="F17" s="9" t="s">
        <v>15</v>
      </c>
      <c r="G17" s="10">
        <f>B29+B34</f>
        <v>82600</v>
      </c>
      <c r="H17" s="10"/>
      <c r="I17" s="11"/>
    </row>
    <row r="18" ht="14.25" customHeight="1">
      <c r="A18" s="5" t="s">
        <v>16</v>
      </c>
      <c r="B18" s="6"/>
      <c r="F18" s="9" t="s">
        <v>17</v>
      </c>
      <c r="G18" s="10">
        <f>B22+B23+B27+B30</f>
        <v>383000</v>
      </c>
      <c r="H18" s="10"/>
      <c r="I18" s="11"/>
    </row>
    <row r="19" ht="14.25" customHeight="1">
      <c r="A19" s="5" t="s">
        <v>18</v>
      </c>
      <c r="B19" s="6">
        <v>12000.0</v>
      </c>
      <c r="F19" s="9" t="s">
        <v>19</v>
      </c>
      <c r="G19" s="10">
        <f>B19+B37+B42+B25</f>
        <v>29600</v>
      </c>
      <c r="H19" s="10"/>
      <c r="I19" s="11"/>
    </row>
    <row r="20" ht="14.25" customHeight="1">
      <c r="A20" s="5" t="s">
        <v>20</v>
      </c>
      <c r="B20" s="8">
        <f>SUM(B18:B19)</f>
        <v>12000</v>
      </c>
      <c r="F20" s="9" t="s">
        <v>21</v>
      </c>
      <c r="G20" s="10">
        <f>B44</f>
        <v>4800</v>
      </c>
      <c r="H20" s="10"/>
      <c r="I20" s="11"/>
    </row>
    <row r="21" ht="14.25" customHeight="1">
      <c r="A21" s="5" t="s">
        <v>22</v>
      </c>
      <c r="B21" s="6"/>
      <c r="G21" s="10">
        <f>SUM(G17:G20)</f>
        <v>500000</v>
      </c>
      <c r="H21" s="10"/>
      <c r="I21" s="11"/>
    </row>
    <row r="22" ht="14.25" customHeight="1">
      <c r="A22" s="5" t="s">
        <v>23</v>
      </c>
      <c r="B22" s="7">
        <v>12500.0</v>
      </c>
      <c r="G22" s="10"/>
      <c r="H22" s="10"/>
      <c r="I22" s="11"/>
    </row>
    <row r="23" ht="14.25" customHeight="1">
      <c r="A23" s="5" t="s">
        <v>24</v>
      </c>
      <c r="B23" s="7">
        <v>85000.0</v>
      </c>
      <c r="G23" s="10"/>
      <c r="H23" s="10"/>
      <c r="I23" s="11"/>
    </row>
    <row r="24" ht="14.25" customHeight="1">
      <c r="A24" s="5" t="s">
        <v>25</v>
      </c>
      <c r="B24" s="7"/>
      <c r="G24" s="10"/>
      <c r="H24" s="10"/>
      <c r="I24" s="11"/>
    </row>
    <row r="25" ht="14.25" customHeight="1">
      <c r="A25" s="5" t="s">
        <v>26</v>
      </c>
      <c r="B25" s="7">
        <v>9500.0</v>
      </c>
      <c r="G25" s="10"/>
      <c r="H25" s="10"/>
      <c r="I25" s="11"/>
    </row>
    <row r="26" ht="14.25" customHeight="1">
      <c r="A26" s="5" t="s">
        <v>27</v>
      </c>
      <c r="B26" s="8">
        <f>(B23)+(B24)+B25</f>
        <v>94500</v>
      </c>
    </row>
    <row r="27" ht="14.25" customHeight="1">
      <c r="A27" s="5" t="s">
        <v>28</v>
      </c>
      <c r="B27" s="7">
        <v>180000.0</v>
      </c>
    </row>
    <row r="28" ht="14.25" customHeight="1">
      <c r="A28" s="5" t="s">
        <v>29</v>
      </c>
      <c r="B28" s="6"/>
    </row>
    <row r="29" ht="14.25" customHeight="1">
      <c r="A29" s="5" t="s">
        <v>30</v>
      </c>
      <c r="B29" s="6">
        <v>76400.0</v>
      </c>
    </row>
    <row r="30" ht="14.25" customHeight="1">
      <c r="A30" s="5" t="s">
        <v>31</v>
      </c>
      <c r="B30" s="7">
        <v>105500.0</v>
      </c>
    </row>
    <row r="31" ht="14.25" customHeight="1">
      <c r="A31" s="5" t="s">
        <v>32</v>
      </c>
      <c r="B31" s="8">
        <f>SUM(B28:B30)</f>
        <v>181900</v>
      </c>
    </row>
    <row r="32" ht="14.25" customHeight="1">
      <c r="A32" s="5" t="s">
        <v>33</v>
      </c>
      <c r="B32" s="8">
        <f>((((((B21)+(B26))+(B27))+(B31))+B22))</f>
        <v>468900</v>
      </c>
    </row>
    <row r="33" ht="14.25" customHeight="1">
      <c r="A33" s="5" t="s">
        <v>34</v>
      </c>
      <c r="B33" s="6"/>
    </row>
    <row r="34" ht="14.25" customHeight="1">
      <c r="A34" s="5" t="s">
        <v>35</v>
      </c>
      <c r="B34" s="7">
        <v>6200.0</v>
      </c>
    </row>
    <row r="35" ht="14.25" customHeight="1">
      <c r="A35" s="5" t="s">
        <v>36</v>
      </c>
      <c r="B35" s="8">
        <f>SUM(B33:B34)</f>
        <v>6200</v>
      </c>
    </row>
    <row r="36" ht="14.25" customHeight="1">
      <c r="A36" s="5" t="s">
        <v>37</v>
      </c>
      <c r="B36" s="6"/>
    </row>
    <row r="37" ht="14.25" customHeight="1">
      <c r="A37" s="5" t="s">
        <v>38</v>
      </c>
      <c r="B37" s="7">
        <v>3800.0</v>
      </c>
    </row>
    <row r="38" ht="14.25" customHeight="1">
      <c r="A38" s="5" t="s">
        <v>39</v>
      </c>
      <c r="B38" s="8">
        <f>(B36)+(B37)</f>
        <v>3800</v>
      </c>
    </row>
    <row r="39" ht="14.25" customHeight="1">
      <c r="A39" s="5" t="s">
        <v>40</v>
      </c>
      <c r="B39" s="12"/>
    </row>
    <row r="40" ht="14.25" customHeight="1">
      <c r="A40" s="5" t="s">
        <v>41</v>
      </c>
      <c r="B40" s="6">
        <v>3500.0</v>
      </c>
    </row>
    <row r="41" ht="14.25" customHeight="1">
      <c r="A41" s="5" t="s">
        <v>42</v>
      </c>
      <c r="B41" s="6">
        <v>800.0</v>
      </c>
    </row>
    <row r="42" ht="14.25" customHeight="1">
      <c r="A42" s="5" t="s">
        <v>43</v>
      </c>
      <c r="B42" s="8">
        <f>(B39)+(B40)+B41</f>
        <v>4300</v>
      </c>
    </row>
    <row r="43" ht="14.25" customHeight="1">
      <c r="A43" s="5" t="s">
        <v>44</v>
      </c>
      <c r="B43" s="6"/>
    </row>
    <row r="44" ht="14.25" customHeight="1">
      <c r="A44" s="5" t="s">
        <v>45</v>
      </c>
      <c r="B44" s="7">
        <v>4800.0</v>
      </c>
    </row>
    <row r="45" ht="14.25" customHeight="1">
      <c r="A45" s="5" t="s">
        <v>46</v>
      </c>
      <c r="B45" s="8">
        <f>(B43)+(B44)</f>
        <v>4800</v>
      </c>
    </row>
    <row r="46" ht="14.25" customHeight="1">
      <c r="A46" s="5" t="s">
        <v>47</v>
      </c>
      <c r="B46" s="8">
        <f>((B32)+(B38))+(B45)+B42+B20+B35</f>
        <v>500000</v>
      </c>
    </row>
    <row r="47" ht="14.25" customHeight="1">
      <c r="A47" s="5" t="s">
        <v>48</v>
      </c>
      <c r="B47" s="8">
        <f>(B16)-(B46)</f>
        <v>0</v>
      </c>
    </row>
    <row r="48" ht="14.25" customHeight="1">
      <c r="A48" s="5" t="s">
        <v>49</v>
      </c>
      <c r="B48" s="8">
        <f>(B47)+(0)</f>
        <v>0</v>
      </c>
    </row>
    <row r="49" ht="14.25" customHeight="1">
      <c r="A49" s="5"/>
      <c r="B49" s="6"/>
    </row>
    <row r="50" ht="14.25" customHeight="1"/>
    <row r="51" ht="14.25" customHeight="1"/>
    <row r="52" ht="14.25" customHeight="1">
      <c r="A52" s="13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52:B52"/>
  </mergeCells>
  <printOptions/>
  <pageMargins bottom="0.75" footer="0.0" header="0.0" left="0.7" right="0.7" top="0.75"/>
  <pageSetup orientation="portrait"/>
  <drawing r:id="rId1"/>
</worksheet>
</file>